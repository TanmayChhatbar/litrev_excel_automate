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T:\"/>
    </mc:Choice>
  </mc:AlternateContent>
  <xr:revisionPtr revIDLastSave="0" documentId="13_ncr:1_{683658AF-D143-463E-8C87-FCA9C435E955}" xr6:coauthVersionLast="47" xr6:coauthVersionMax="47" xr10:uidLastSave="{00000000-0000-0000-0000-000000000000}"/>
  <bookViews>
    <workbookView xWindow="-120" yWindow="-120" windowWidth="29040" windowHeight="15525" tabRatio="578" xr2:uid="{0B5D40DD-E95E-497D-8BEC-451F1050BECD}"/>
  </bookViews>
  <sheets>
    <sheet name="Main" sheetId="4" r:id="rId1"/>
  </sheets>
  <definedNames>
    <definedName name="_xlnm._FilterDatabase" localSheetId="0" hidden="1">Main!$A$1:$S$10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4" l="1" a="1"/>
  <c r="T2" i="4" s="1"/>
  <c r="T3" i="4" a="1"/>
  <c r="T3" i="4" s="1"/>
  <c r="T4" i="4" a="1"/>
  <c r="T4" i="4" s="1"/>
  <c r="T5" i="4" a="1"/>
  <c r="T5" i="4" s="1"/>
  <c r="T6" i="4" a="1"/>
  <c r="T6" i="4" s="1"/>
  <c r="T7" i="4" a="1"/>
  <c r="T7" i="4" s="1"/>
  <c r="T8" i="4" a="1"/>
  <c r="T8" i="4" s="1"/>
  <c r="T9" i="4" a="1"/>
  <c r="T9" i="4" s="1"/>
  <c r="T10" i="4" a="1"/>
  <c r="T10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Tanmay</author>
  </authors>
  <commentList>
    <comment ref="C1" authorId="0" shapeId="0" xr:uid="{1F00BE25-65EC-4F70-8CBA-1023B7570243}">
      <text>
        <r>
          <rPr>
            <b/>
            <sz val="9"/>
            <color indexed="81"/>
            <rFont val="Tahoma"/>
            <family val="2"/>
          </rPr>
          <t>README</t>
        </r>
        <r>
          <rPr>
            <sz val="9"/>
            <color indexed="81"/>
            <rFont val="Tahoma"/>
            <family val="2"/>
          </rPr>
          <t xml:space="preserve">
Step 1: Find DOI of paper
Step 2: Paste into column A
Step 3: Press the Green DOI button to retrieve metadata using api.crossref.org
Notes:
Columns B-H will be auto-filled. 
</t>
        </r>
        <r>
          <rPr>
            <b/>
            <sz val="9"/>
            <color indexed="81"/>
            <rFont val="Tahoma"/>
            <family val="2"/>
          </rPr>
          <t xml:space="preserve">Column H is experimental
</t>
        </r>
        <r>
          <rPr>
            <sz val="9"/>
            <color indexed="81"/>
            <rFont val="Tahoma"/>
            <family val="2"/>
          </rPr>
          <t>For suggestions, contact at tanmaychhatbar@gmail.com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<sst xmlns="http://schemas.openxmlformats.org/spreadsheetml/2006/main" count="155" uniqueCount="105">
  <si>
    <t>Paper</t>
  </si>
  <si>
    <t>Year</t>
  </si>
  <si>
    <t>Centralization</t>
  </si>
  <si>
    <t>Notes</t>
  </si>
  <si>
    <t>A Review of Dynamic State Estimation for the Neighborhood System of Connected Vehicles</t>
  </si>
  <si>
    <t>10.4271/10-07-03-0023</t>
  </si>
  <si>
    <t>Publisher</t>
  </si>
  <si>
    <t>journal-article</t>
  </si>
  <si>
    <t>10.1177/0361198120913290</t>
  </si>
  <si>
    <t>Multi-Vehicle Trajectory Design During Cooperative Adaptive Cruise Control Platoon Formation</t>
  </si>
  <si>
    <t>SAGE Publications</t>
  </si>
  <si>
    <t>Elsevier BV</t>
  </si>
  <si>
    <t>Cites</t>
  </si>
  <si>
    <t>10.1109/TTE.2016.2628823</t>
  </si>
  <si>
    <t>Stabilizing Periodic Control of Automated Vehicle Platoon With Minimized Fuel Consumption</t>
  </si>
  <si>
    <t>Publication</t>
  </si>
  <si>
    <t>Validation</t>
  </si>
  <si>
    <t>Powertrain</t>
  </si>
  <si>
    <t>Vehicle</t>
  </si>
  <si>
    <t>Control</t>
  </si>
  <si>
    <t>ICE</t>
  </si>
  <si>
    <t>Sim</t>
  </si>
  <si>
    <t>-</t>
  </si>
  <si>
    <t>Formation</t>
  </si>
  <si>
    <t>2-step opt, #1 resequencing, #2 inputs</t>
  </si>
  <si>
    <t>VT-Micro model</t>
  </si>
  <si>
    <t>N</t>
  </si>
  <si>
    <t>does not consider effects of joining / dissolution</t>
  </si>
  <si>
    <t>10.3182/20130904-4-JP-2042.00110</t>
  </si>
  <si>
    <t>An Overview on an Automated Truck Platoon within the Energy ITS Project</t>
  </si>
  <si>
    <t>Real</t>
  </si>
  <si>
    <t>inline</t>
  </si>
  <si>
    <t>doesn’t consider effects of formation</t>
  </si>
  <si>
    <t>10.1016/j.trd.2019.10.020</t>
  </si>
  <si>
    <t>Development and evaluation of a vehicle platoon guidance strategy at signalized intersections considering fuel savings</t>
  </si>
  <si>
    <t>VSP model</t>
  </si>
  <si>
    <t>Platoon control</t>
  </si>
  <si>
    <t>centralized</t>
  </si>
  <si>
    <t>assuming traffic signal knowledge. How to apply to uncontrolled intersections?</t>
  </si>
  <si>
    <t>10.1109/TCST.2016.2542044</t>
  </si>
  <si>
    <t>Cooperative Look-Ahead Control for Fuel-Efficient and Safe Heavy-Duty Vehicle Platooning</t>
  </si>
  <si>
    <t>good paper on MPC formulation</t>
  </si>
  <si>
    <t>10.1109/TITS.2017.2700021</t>
  </si>
  <si>
    <t>Fuel-Efficient En Route Formation of Truck Platoons</t>
  </si>
  <si>
    <t>Trucks</t>
  </si>
  <si>
    <t>Fuel vs vx</t>
  </si>
  <si>
    <t>leader fixed plan. Followers try to catch up</t>
  </si>
  <si>
    <t>if v== vmax, trucks will never catch up. and leader never slows down. Leader sticks to plan - not necessarily optimal</t>
  </si>
  <si>
    <t>large N</t>
  </si>
  <si>
    <t>10.1109/TITS.2015.2492243</t>
  </si>
  <si>
    <t>Heavy-Duty Vehicle Platoon Formation for Fuel Efficiency</t>
  </si>
  <si>
    <t>check neighbor, speed up/down, expand</t>
  </si>
  <si>
    <t>Case</t>
  </si>
  <si>
    <t>Savings %</t>
  </si>
  <si>
    <t>4m spacing</t>
  </si>
  <si>
    <t>thru lights</t>
  </si>
  <si>
    <t>over other platoon</t>
  </si>
  <si>
    <t>Review</t>
  </si>
  <si>
    <t>Target</t>
  </si>
  <si>
    <t>Heavy duty</t>
  </si>
  <si>
    <t>Strategy</t>
  </si>
  <si>
    <t>Cars</t>
  </si>
  <si>
    <t>N homogenous</t>
  </si>
  <si>
    <t>3 heavy, 1 light trucks</t>
  </si>
  <si>
    <t>decentralized</t>
  </si>
  <si>
    <t>distributed</t>
  </si>
  <si>
    <t>PnG strategy to maximize powertrain efficiency, proven stability</t>
  </si>
  <si>
    <t>ignores effect on aero efficiency, nor a cap on max deceleration, potentially unsafe closing speeds at unfortunate time</t>
  </si>
  <si>
    <t>Diesel</t>
  </si>
  <si>
    <t>linear fuel vs power</t>
  </si>
  <si>
    <t>builds platoons on pairs of pairs. what if 3+1 is more efficient than 2+2</t>
  </si>
  <si>
    <t>highway, diff start t and loc</t>
  </si>
  <si>
    <t>scalability since heuristic</t>
  </si>
  <si>
    <t>platoon formation of scattered vehicles</t>
  </si>
  <si>
    <t>defined source, dest, time</t>
  </si>
  <si>
    <t>10.1109/TITS.2022.3193278</t>
  </si>
  <si>
    <t>A Review of Connected and Automated Vehicle Platoon Merging and Splitting Operations</t>
  </si>
  <si>
    <t>Platoon size</t>
  </si>
  <si>
    <t>Novelty (safety,considerations,constraints)</t>
  </si>
  <si>
    <t>Column1</t>
  </si>
  <si>
    <t>SAE International</t>
  </si>
  <si>
    <t>Tsugawa</t>
  </si>
  <si>
    <t>Authors</t>
  </si>
  <si>
    <t>Li et al.</t>
  </si>
  <si>
    <t>Wang et al.</t>
  </si>
  <si>
    <t>Ye et al.</t>
  </si>
  <si>
    <t>Turri et al.</t>
  </si>
  <si>
    <t>van de Hoef et al.</t>
  </si>
  <si>
    <t>Liang et al.</t>
  </si>
  <si>
    <t>trajectory opt for sequencing during formation during switching to CAV lane</t>
  </si>
  <si>
    <t>controlled intersection, platoon ID, passage formulation</t>
  </si>
  <si>
    <t xml:space="preserve">consider slope with MPC, low level safety constraint </t>
  </si>
  <si>
    <t>Institute of Electrical and Electronics Engineers (IEEE)</t>
  </si>
  <si>
    <t>Cite as</t>
  </si>
  <si>
    <t>TODO</t>
  </si>
  <si>
    <t>highway platoon</t>
  </si>
  <si>
    <t>Wang et al.(2023). A Review of Dynamic State Estimation for the Neighborhood System of Connected Vehicles. SAE International. https://doi.org/10.4271/10-07-03-0023</t>
  </si>
  <si>
    <t>Li et al.(2022). A Review of Connected and Automated Vehicle Platoon Merging and Splitting Operations. Institute of Electrical and Electronics Engineers (IEEE). https://doi.org/10.1109/TITS.2022.3193278</t>
  </si>
  <si>
    <t>Wang et al.(2020). Multi-Vehicle Trajectory Design During Cooperative Adaptive Cruise Control Platoon Formation. SAGE Publications. https://doi.org/10.1177/0361198120913290</t>
  </si>
  <si>
    <t>Tsugawa(2013). An Overview on an Automated Truck Platoon within the Energy ITS Project. Elsevier BV. https://doi.org/10.3182/20130904-4-JP-2042.00110</t>
  </si>
  <si>
    <t>Ye et al.(2019). Development and evaluation of a vehicle platoon guidance strategy at signalized intersections considering fuel savings. Elsevier BV. https://doi.org/10.1016/j.trd.2019.10.020</t>
  </si>
  <si>
    <t>Turri et al.(2016). Cooperative Look-Ahead Control for Fuel-Efficient and Safe Heavy-Duty Vehicle Platooning. Institute of Electrical and Electronics Engineers (IEEE). https://doi.org/10.1109/TCST.2016.2542044</t>
  </si>
  <si>
    <t>van de Hoef et al.(2017). Fuel-Efficient En Route Formation of Truck Platoons. Institute of Electrical and Electronics Engineers (IEEE). https://doi.org/10.1109/TITS.2017.2700021</t>
  </si>
  <si>
    <t>Liang et al.(2015). Heavy-Duty Vehicle Platoon Formation for Fuel Efficiency. Institute of Electrical and Electronics Engineers (IEEE). https://doi.org/10.1109/TITS.2015.2492243</t>
  </si>
  <si>
    <t>Li et al.(2016). Stabilizing Periodic Control of Automated Vehicle Platoon With Minimized Fuel Consumption. Institute of Electrical and Electronics Engineers (IEEE). https://doi.org/10.1109/TTE.2016.2628823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</si>
</sst>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10" fontId="0" fillId="0" borderId="0" xfId="0" applyNumberFormat="1"/>
    <xf numFmtId="10" fontId="1" fillId="0" borderId="0" xfId="0" applyNumberFormat="1" applyFont="1"/>
    <xf numFmtId="0" fontId="1" fillId="0" borderId="1" xfId="0" applyFont="1" applyBorder="1"/>
    <xf numFmtId="0" fontId="3" fillId="0" borderId="0" xfId="0" applyFont="1"/>
    <xf numFmtId="0" fontId="5" fillId="0" borderId="0" xfId="0" applyFont="1"/>
    <xf numFmtId="0" fontId="6" fillId="0" borderId="0" xfId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26">
    <dxf>
      <fill>
        <patternFill>
          <bgColor rgb="FFFFCC99"/>
        </patternFill>
      </fill>
    </dxf>
    <dxf>
      <fill>
        <patternFill patternType="solid">
          <bgColor rgb="FFFFCCCC"/>
        </patternFill>
      </fill>
      <border>
        <left/>
        <right/>
        <top/>
        <bottom/>
      </border>
    </dxf>
    <dxf>
      <fill>
        <patternFill>
          <bgColor rgb="FFFFCCCC"/>
        </patternFill>
      </fill>
    </dxf>
    <dxf>
      <font>
        <color auto="1"/>
      </font>
      <fill>
        <patternFill>
          <bgColor rgb="FFFFCC99"/>
        </patternFill>
      </fill>
    </dxf>
    <dxf>
      <numFmt numFmtId="0" formatCode="General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right style="thin">
          <color indexed="64"/>
        </right>
        <top/>
        <bottom/>
        <vertical/>
        <horizontal/>
      </border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colors>
    <mruColors>
      <color rgb="FFFFCC99"/>
      <color rgb="FFFFCC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652096</xdr:colOff>
      <xdr:row>1</xdr:row>
      <xdr:rowOff>7326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1CCE1EB9-4476-467E-9816-30A604003C1C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jbGVtc29uLW15LnNoYXJlcG9pbnQuY29tLzp1Oi9nL3BlcnNvbmFsL3RjaGhhdGJfY2xlbXNvbl9lZHUvRVlaUlZJbmNLQUJMdGNXbS05d2xGOGdCcFQ3SEdwMTRMblgzeWhuQjlpb1Itdw&quot;}"/>
            </a:ext>
          </a:extLst>
        </xdr:cNvPr>
        <xdr:cNvSpPr/>
      </xdr:nvSpPr>
      <xdr:spPr>
        <a:xfrm>
          <a:off x="227135" y="0"/>
          <a:ext cx="652096" cy="197826"/>
        </a:xfrm>
        <a:prstGeom prst="roundRect">
          <a:avLst/>
        </a:prstGeom>
        <a:solidFill>
          <a:srgbClr val="107C41"/>
        </a:solidFill>
        <a:ln w="1905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rtlCol="0" anchor="ctr"/>
        <a:lstStyle/>
        <a:p>
          <a:pPr algn="ctr"/>
          <a:r>
            <a:rPr lang="en-US"/>
            <a:t>DOI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0E2EF0E-7A97-42C5-9A92-7DCB68DCCFE2}" name="Table24" displayName="Table24" ref="A1:T10" totalsRowShown="0" headerRowDxfId="25" dataDxfId="24" dataCellStyle="Normal">
  <autoFilter ref="A1:T10" xr:uid="{D8773499-8894-4D32-83C7-D1EC90B8D239}"/>
  <tableColumns count="20">
    <tableColumn id="1" xr3:uid="{53B74B4B-3FE9-4C24-9E28-139442F8F1D3}" name="Column1" dataDxfId="23" dataCellStyle="Normal"/>
    <tableColumn id="21" xr3:uid="{5FCAAD68-6178-4D52-96C2-49B3EC48FEFB}" name="Authors" dataDxfId="22"/>
    <tableColumn id="2" xr3:uid="{371CC886-4D48-4D35-9847-36A7A47069D5}" name="Paper" dataDxfId="21" dataCellStyle="Normal"/>
    <tableColumn id="3" xr3:uid="{13F0AEDC-37E9-4B92-8C68-B7778B24D7F6}" name="Year" dataDxfId="20" dataCellStyle="Normal"/>
    <tableColumn id="4" xr3:uid="{59A729CE-79C2-4793-8E1D-B0B682E40469}" name="Cites" dataDxfId="19" dataCellStyle="Normal"/>
    <tableColumn id="5" xr3:uid="{308FD6D8-6906-495B-BF91-A3E63806EEC4}" name="Publication" dataDxfId="18" dataCellStyle="Normal"/>
    <tableColumn id="6" xr3:uid="{B8ACE4E8-73CD-417A-B4B8-225113A72382}" name="Publisher" dataDxfId="17" dataCellStyle="Normal"/>
    <tableColumn id="18" xr3:uid="{6B1C613E-C1F0-4BD5-A4BE-DC8B6D8E3B4C}" name="Cite as" dataDxfId="16"/>
    <tableColumn id="7" xr3:uid="{615CC6D8-D9F4-46C2-A5B0-D5F1821B36D1}" name="Target" dataDxfId="15" dataCellStyle="Normal"/>
    <tableColumn id="8" xr3:uid="{AA4188D1-D473-4952-AA82-DE412DB39845}" name="Strategy" dataDxfId="14" dataCellStyle="Normal"/>
    <tableColumn id="9" xr3:uid="{0AFCDC78-488D-45DF-A21B-8088A4B7FEE6}" name="Vehicle" dataDxfId="13" dataCellStyle="Normal"/>
    <tableColumn id="10" xr3:uid="{75A570B5-D0C5-464E-A294-06AFC013FE7A}" name="Powertrain" dataDxfId="12" dataCellStyle="Normal"/>
    <tableColumn id="12" xr3:uid="{C95B6D48-047B-409E-8337-9B6E31ABAD4A}" name="Case" dataDxfId="11" dataCellStyle="Normal"/>
    <tableColumn id="14" xr3:uid="{B173FEA3-6DB1-456F-9703-B59C97A0E79B}" name="Platoon size" dataDxfId="10" dataCellStyle="Normal"/>
    <tableColumn id="11" xr3:uid="{F9759EA3-A252-4EAE-8B39-4DECE9DC8AA8}" name="Validation" dataDxfId="9" dataCellStyle="Normal"/>
    <tableColumn id="13" xr3:uid="{4AE75FB1-E308-4778-90BB-9119F8096F99}" name="Savings %" dataDxfId="8" dataCellStyle="Normal"/>
    <tableColumn id="15" xr3:uid="{D2FC5431-7C1E-4BBC-AED0-97985A22F7A1}" name="Centralization" dataDxfId="7" dataCellStyle="Normal"/>
    <tableColumn id="16" xr3:uid="{983D6E3E-FECD-40D8-AEE3-0B3F8EFE86B8}" name="Novelty (safety,considerations,constraints)" dataDxfId="6" dataCellStyle="Normal"/>
    <tableColumn id="17" xr3:uid="{C1DB30CF-DE6A-4046-8A70-E36B39F4F3A8}" name="Notes" dataDxfId="5" dataCellStyle="Normal"/>
    <tableColumn id="20" xr3:uid="{D80E104F-FC54-4C74-9E56-878330ABD020}" name="TODO" dataDxfId="4" dataCellStyle="Normal">
      <calculatedColumnFormula array="1">OR(ISBLANK($A2:$S2))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109/TITS.2017.2700021" TargetMode="External"/><Relationship Id="rId13" Type="http://schemas.openxmlformats.org/officeDocument/2006/relationships/table" Target="../tables/table1.xml"/><Relationship Id="rId3" Type="http://schemas.openxmlformats.org/officeDocument/2006/relationships/hyperlink" Target="https://doi.org/10.1109/TITS.2022.3193278" TargetMode="External"/><Relationship Id="rId7" Type="http://schemas.openxmlformats.org/officeDocument/2006/relationships/hyperlink" Target="https://doi.org/10.1109/TCST.2016.2542044" TargetMode="External"/><Relationship Id="rId12" Type="http://schemas.openxmlformats.org/officeDocument/2006/relationships/vmlDrawing" Target="../drawings/vmlDrawing1.vml"/><Relationship Id="rId2" Type="http://schemas.openxmlformats.org/officeDocument/2006/relationships/hyperlink" Target="https://doi.org/10.1109/TTE.2016.2628823" TargetMode="External"/><Relationship Id="rId1" Type="http://schemas.openxmlformats.org/officeDocument/2006/relationships/hyperlink" Target="https://doi.org/10.4271/10-07-03-0023" TargetMode="External"/><Relationship Id="rId6" Type="http://schemas.openxmlformats.org/officeDocument/2006/relationships/hyperlink" Target="https://doi.org/10.1016/j.trd.2019.10.020" TargetMode="External"/><Relationship Id="rId11" Type="http://schemas.openxmlformats.org/officeDocument/2006/relationships/drawing" Target="../drawings/drawing1.xml"/><Relationship Id="rId5" Type="http://schemas.openxmlformats.org/officeDocument/2006/relationships/hyperlink" Target="https://doi.org/10.3182/20130904-4-JP-2042.00110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doi.org/10.1177/0361198120913290" TargetMode="External"/><Relationship Id="rId9" Type="http://schemas.openxmlformats.org/officeDocument/2006/relationships/hyperlink" Target="https://doi.org/10.1109/TITS.2015.2492243" TargetMode="External"/><Relationship Id="rId1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996F0-1C4E-41B6-ADF5-25031C07931D}">
  <dimension ref="A1:T10"/>
  <sheetViews>
    <sheetView tabSelected="1" zoomScale="115" zoomScaleNormal="115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C13" sqref="C13"/>
    </sheetView>
  </sheetViews>
  <sheetFormatPr defaultRowHeight="15" x14ac:dyDescent="0.25"/>
  <cols>
    <col min="1" max="1" width="10.7109375" style="2" customWidth="1"/>
    <col min="2" max="2" width="6.42578125" hidden="1" customWidth="1"/>
    <col min="3" max="3" width="39.85546875" style="7" customWidth="1"/>
    <col min="4" max="4" width="7.140625" customWidth="1"/>
    <col min="5" max="5" width="8" customWidth="1"/>
    <col min="6" max="6" width="13.85546875" customWidth="1"/>
    <col min="7" max="7" width="18.28515625" customWidth="1"/>
    <col min="8" max="8" width="18.28515625" style="9" customWidth="1"/>
    <col min="9" max="9" width="10.140625" bestFit="1" customWidth="1"/>
    <col min="10" max="10" width="38.85546875" bestFit="1" customWidth="1"/>
    <col min="11" max="11" width="16.140625" customWidth="1"/>
    <col min="12" max="12" width="18.28515625" bestFit="1" customWidth="1"/>
    <col min="13" max="13" width="12.28515625" customWidth="1"/>
    <col min="14" max="14" width="16.140625" style="3" customWidth="1"/>
    <col min="15" max="15" width="12.28515625" bestFit="1" customWidth="1"/>
    <col min="17" max="17" width="9.140625" customWidth="1"/>
    <col min="18" max="18" width="45.28515625" customWidth="1"/>
    <col min="19" max="19" width="55.28515625" bestFit="1" customWidth="1"/>
    <col min="20" max="20" width="39.7109375" bestFit="1" customWidth="1"/>
    <col min="21" max="21" width="109.42578125" bestFit="1" customWidth="1"/>
  </cols>
  <sheetData>
    <row r="1" spans="1:20" s="1" customFormat="1" x14ac:dyDescent="0.25">
      <c r="A1" s="6" t="s">
        <v>79</v>
      </c>
      <c r="B1" s="1" t="s">
        <v>82</v>
      </c>
      <c r="C1" s="1" t="s">
        <v>0</v>
      </c>
      <c r="D1" s="1" t="s">
        <v>1</v>
      </c>
      <c r="E1" s="1" t="s">
        <v>12</v>
      </c>
      <c r="F1" s="1" t="s">
        <v>15</v>
      </c>
      <c r="G1" s="5" t="s">
        <v>6</v>
      </c>
      <c r="H1" s="5" t="s">
        <v>93</v>
      </c>
      <c r="I1" s="1" t="s">
        <v>58</v>
      </c>
      <c r="J1" s="1" t="s">
        <v>60</v>
      </c>
      <c r="K1" s="1" t="s">
        <v>18</v>
      </c>
      <c r="L1" s="1" t="s">
        <v>17</v>
      </c>
      <c r="M1" s="1" t="s">
        <v>52</v>
      </c>
      <c r="N1" s="1" t="s">
        <v>77</v>
      </c>
      <c r="O1" s="1" t="s">
        <v>16</v>
      </c>
      <c r="P1" s="4" t="s">
        <v>53</v>
      </c>
      <c r="Q1" s="1" t="s">
        <v>2</v>
      </c>
      <c r="R1" s="1" t="s">
        <v>78</v>
      </c>
      <c r="S1" s="1" t="s">
        <v>3</v>
      </c>
      <c r="T1" s="1" t="s">
        <v>94</v>
      </c>
    </row>
    <row r="2" spans="1:20" x14ac:dyDescent="0.25">
      <c r="A2" s="8" t="s">
        <v>75</v>
      </c>
      <c r="B2" t="s">
        <v>83</v>
      </c>
      <c r="C2" s="7" t="s">
        <v>76</v>
      </c>
      <c r="D2">
        <v>2022</v>
      </c>
      <c r="E2">
        <v>22</v>
      </c>
      <c r="F2" t="s">
        <v>7</v>
      </c>
      <c r="G2" t="s">
        <v>92</v>
      </c>
      <c r="H2" s="9" t="s">
        <v>97</v>
      </c>
      <c r="I2" t="s">
        <v>57</v>
      </c>
      <c r="J2" t="s">
        <v>22</v>
      </c>
      <c r="K2" t="s">
        <v>22</v>
      </c>
      <c r="L2" t="s">
        <v>22</v>
      </c>
      <c r="M2" t="s">
        <v>22</v>
      </c>
      <c r="N2" t="s">
        <v>22</v>
      </c>
      <c r="O2" t="s">
        <v>22</v>
      </c>
      <c r="P2" t="s">
        <v>22</v>
      </c>
      <c r="Q2" t="s">
        <v>22</v>
      </c>
      <c r="R2" t="s">
        <v>22</v>
      </c>
      <c r="S2" t="s">
        <v>22</v>
      </c>
      <c r="T2" t="b" cm="1">
        <f t="array" ref="T2">OR(ISBLANK($A2:$S2))</f>
        <v>0</v>
      </c>
    </row>
    <row r="3" spans="1:20" x14ac:dyDescent="0.25">
      <c r="A3" s="8" t="s">
        <v>8</v>
      </c>
      <c r="B3" t="s">
        <v>84</v>
      </c>
      <c r="C3" s="7" t="s">
        <v>9</v>
      </c>
      <c r="D3">
        <v>2020</v>
      </c>
      <c r="E3">
        <v>16</v>
      </c>
      <c r="F3" t="s">
        <v>7</v>
      </c>
      <c r="G3" t="s">
        <v>10</v>
      </c>
      <c r="H3" s="9" t="s">
        <v>98</v>
      </c>
      <c r="I3" t="s">
        <v>23</v>
      </c>
      <c r="J3" t="s">
        <v>24</v>
      </c>
      <c r="K3" t="s">
        <v>61</v>
      </c>
      <c r="L3" t="s">
        <v>25</v>
      </c>
      <c r="M3" t="s">
        <v>89</v>
      </c>
      <c r="N3" t="s">
        <v>26</v>
      </c>
      <c r="O3" t="s">
        <v>21</v>
      </c>
      <c r="P3">
        <v>0.4</v>
      </c>
      <c r="Q3" t="s">
        <v>37</v>
      </c>
      <c r="R3" t="s">
        <v>27</v>
      </c>
      <c r="S3" t="s">
        <v>22</v>
      </c>
      <c r="T3" t="b" cm="1">
        <f t="array" ref="T3">OR(ISBLANK($A3:$S3))</f>
        <v>0</v>
      </c>
    </row>
    <row r="4" spans="1:20" x14ac:dyDescent="0.25">
      <c r="A4" s="8" t="s">
        <v>28</v>
      </c>
      <c r="B4" t="s">
        <v>81</v>
      </c>
      <c r="C4" s="7" t="s">
        <v>29</v>
      </c>
      <c r="D4">
        <v>2013</v>
      </c>
      <c r="E4">
        <v>67</v>
      </c>
      <c r="F4" t="s">
        <v>7</v>
      </c>
      <c r="G4" t="s">
        <v>11</v>
      </c>
      <c r="H4" s="9" t="s">
        <v>99</v>
      </c>
      <c r="I4" t="s">
        <v>19</v>
      </c>
      <c r="J4" t="s">
        <v>31</v>
      </c>
      <c r="K4" t="s">
        <v>44</v>
      </c>
      <c r="L4" t="s">
        <v>68</v>
      </c>
      <c r="M4" t="s">
        <v>54</v>
      </c>
      <c r="N4" t="s">
        <v>63</v>
      </c>
      <c r="O4" t="s">
        <v>30</v>
      </c>
      <c r="P4">
        <v>0.15</v>
      </c>
      <c r="Q4" t="s">
        <v>64</v>
      </c>
      <c r="R4" t="s">
        <v>32</v>
      </c>
      <c r="S4" t="s">
        <v>22</v>
      </c>
      <c r="T4" t="b" cm="1">
        <f t="array" ref="T4">OR(ISBLANK($A4:$S4))</f>
        <v>0</v>
      </c>
    </row>
    <row r="5" spans="1:20" x14ac:dyDescent="0.25">
      <c r="A5" s="8" t="s">
        <v>33</v>
      </c>
      <c r="B5" t="s">
        <v>85</v>
      </c>
      <c r="C5" s="7" t="s">
        <v>34</v>
      </c>
      <c r="D5">
        <v>2019</v>
      </c>
      <c r="E5">
        <v>29</v>
      </c>
      <c r="F5" t="s">
        <v>7</v>
      </c>
      <c r="G5" t="s">
        <v>11</v>
      </c>
      <c r="H5" s="9" t="s">
        <v>100</v>
      </c>
      <c r="I5" t="s">
        <v>19</v>
      </c>
      <c r="J5" t="s">
        <v>90</v>
      </c>
      <c r="K5" t="s">
        <v>36</v>
      </c>
      <c r="L5" t="s">
        <v>35</v>
      </c>
      <c r="M5" t="s">
        <v>55</v>
      </c>
      <c r="N5" t="s">
        <v>26</v>
      </c>
      <c r="O5" t="s">
        <v>21</v>
      </c>
      <c r="P5">
        <v>0.3</v>
      </c>
      <c r="Q5" t="s">
        <v>37</v>
      </c>
      <c r="R5" t="s">
        <v>38</v>
      </c>
      <c r="S5" t="s">
        <v>22</v>
      </c>
      <c r="T5" t="b" cm="1">
        <f t="array" ref="T5">OR(ISBLANK($A5:$S5))</f>
        <v>0</v>
      </c>
    </row>
    <row r="6" spans="1:20" x14ac:dyDescent="0.25">
      <c r="A6" s="8" t="s">
        <v>39</v>
      </c>
      <c r="B6" t="s">
        <v>86</v>
      </c>
      <c r="C6" s="7" t="s">
        <v>40</v>
      </c>
      <c r="D6">
        <v>2016</v>
      </c>
      <c r="E6">
        <v>292</v>
      </c>
      <c r="F6" t="s">
        <v>7</v>
      </c>
      <c r="G6" t="s">
        <v>92</v>
      </c>
      <c r="H6" s="9" t="s">
        <v>101</v>
      </c>
      <c r="I6" t="s">
        <v>19</v>
      </c>
      <c r="J6" t="s">
        <v>91</v>
      </c>
      <c r="K6" t="s">
        <v>59</v>
      </c>
      <c r="L6" t="s">
        <v>69</v>
      </c>
      <c r="M6" t="s">
        <v>56</v>
      </c>
      <c r="N6">
        <v>2</v>
      </c>
      <c r="O6" t="s">
        <v>21</v>
      </c>
      <c r="P6">
        <v>0.12</v>
      </c>
      <c r="Q6" t="s">
        <v>37</v>
      </c>
      <c r="R6" t="s">
        <v>41</v>
      </c>
      <c r="S6" t="s">
        <v>22</v>
      </c>
      <c r="T6" t="b" cm="1">
        <f t="array" ref="T6">OR(ISBLANK($A6:$S6))</f>
        <v>0</v>
      </c>
    </row>
    <row r="7" spans="1:20" x14ac:dyDescent="0.25">
      <c r="A7" s="8" t="s">
        <v>42</v>
      </c>
      <c r="B7" t="s">
        <v>87</v>
      </c>
      <c r="C7" s="7" t="s">
        <v>43</v>
      </c>
      <c r="D7">
        <v>2017</v>
      </c>
      <c r="E7">
        <v>77</v>
      </c>
      <c r="F7" t="s">
        <v>7</v>
      </c>
      <c r="G7" t="s">
        <v>92</v>
      </c>
      <c r="H7" s="9" t="s">
        <v>102</v>
      </c>
      <c r="I7" t="s">
        <v>23</v>
      </c>
      <c r="J7" t="s">
        <v>46</v>
      </c>
      <c r="K7" t="s">
        <v>44</v>
      </c>
      <c r="L7" t="s">
        <v>45</v>
      </c>
      <c r="M7" t="s">
        <v>71</v>
      </c>
      <c r="N7" t="s">
        <v>48</v>
      </c>
      <c r="O7" t="s">
        <v>21</v>
      </c>
      <c r="P7">
        <v>0.08</v>
      </c>
      <c r="Q7" t="s">
        <v>37</v>
      </c>
      <c r="R7" t="s">
        <v>72</v>
      </c>
      <c r="S7" t="s">
        <v>47</v>
      </c>
      <c r="T7" t="b" cm="1">
        <f t="array" ref="T7">OR(ISBLANK($A7:$S7))</f>
        <v>0</v>
      </c>
    </row>
    <row r="8" spans="1:20" x14ac:dyDescent="0.25">
      <c r="A8" s="8" t="s">
        <v>49</v>
      </c>
      <c r="B8" t="s">
        <v>88</v>
      </c>
      <c r="C8" s="7" t="s">
        <v>50</v>
      </c>
      <c r="D8">
        <v>2015</v>
      </c>
      <c r="E8">
        <v>215</v>
      </c>
      <c r="F8" t="s">
        <v>7</v>
      </c>
      <c r="G8" t="s">
        <v>92</v>
      </c>
      <c r="H8" s="9" t="s">
        <v>103</v>
      </c>
      <c r="I8" t="s">
        <v>23</v>
      </c>
      <c r="J8" t="s">
        <v>51</v>
      </c>
      <c r="K8" t="s">
        <v>44</v>
      </c>
      <c r="L8" t="s">
        <v>45</v>
      </c>
      <c r="M8" t="s">
        <v>73</v>
      </c>
      <c r="N8" t="s">
        <v>26</v>
      </c>
      <c r="O8" t="s">
        <v>21</v>
      </c>
      <c r="P8">
        <v>0.04</v>
      </c>
      <c r="Q8" t="s">
        <v>37</v>
      </c>
      <c r="R8" t="s">
        <v>70</v>
      </c>
      <c r="S8" t="s">
        <v>74</v>
      </c>
      <c r="T8" t="b" cm="1">
        <f t="array" ref="T8">OR(ISBLANK($A8:$S8))</f>
        <v>0</v>
      </c>
    </row>
    <row r="9" spans="1:20" x14ac:dyDescent="0.25">
      <c r="A9" s="8" t="s">
        <v>5</v>
      </c>
      <c r="B9" t="s">
        <v>84</v>
      </c>
      <c r="C9" s="7" t="s">
        <v>4</v>
      </c>
      <c r="D9" s="7">
        <v>2023</v>
      </c>
      <c r="E9">
        <v>13</v>
      </c>
      <c r="F9" t="s">
        <v>7</v>
      </c>
      <c r="G9" t="s">
        <v>80</v>
      </c>
      <c r="H9" s="9" t="s">
        <v>96</v>
      </c>
      <c r="I9" s="7" t="s">
        <v>57</v>
      </c>
      <c r="J9" s="7"/>
      <c r="K9" s="7"/>
      <c r="L9" s="7"/>
      <c r="M9" s="7"/>
      <c r="N9" s="7"/>
      <c r="O9" s="7"/>
      <c r="P9" s="7"/>
      <c r="Q9" s="7"/>
      <c r="R9" s="7"/>
      <c r="S9" s="7"/>
      <c r="T9" s="7" t="b" cm="1">
        <f t="array" ref="T9">OR(ISBLANK($A9:$S9))</f>
        <v>1</v>
      </c>
    </row>
    <row r="10" spans="1:20" x14ac:dyDescent="0.25">
      <c r="A10" s="8" t="s">
        <v>13</v>
      </c>
      <c r="B10" t="s">
        <v>83</v>
      </c>
      <c r="C10" s="7" t="s">
        <v>14</v>
      </c>
      <c r="D10">
        <v>2016</v>
      </c>
      <c r="E10">
        <v>66</v>
      </c>
      <c r="F10" t="s">
        <v>7</v>
      </c>
      <c r="G10" t="s">
        <v>92</v>
      </c>
      <c r="H10" s="9" t="s">
        <v>104</v>
      </c>
      <c r="I10" t="s">
        <v>19</v>
      </c>
      <c r="J10" t="s">
        <v>66</v>
      </c>
      <c r="K10" t="s">
        <v>61</v>
      </c>
      <c r="L10" t="s">
        <v>20</v>
      </c>
      <c r="M10" t="s">
        <v>95</v>
      </c>
      <c r="N10" t="s">
        <v>62</v>
      </c>
      <c r="O10" t="s">
        <v>21</v>
      </c>
      <c r="P10">
        <v>0.218</v>
      </c>
      <c r="Q10" t="s">
        <v>65</v>
      </c>
      <c r="R10" t="s">
        <v>67</v>
      </c>
      <c r="S10" t="s">
        <v>22</v>
      </c>
      <c r="T10" t="b" cm="1">
        <f t="array" ref="T10">OR(ISBLANK($A10:$S10))</f>
        <v>0</v>
      </c>
    </row>
  </sheetData>
  <phoneticPr fontId="4" type="noConversion"/>
  <conditionalFormatting sqref="A1:A10">
    <cfRule type="duplicateValues" dxfId="3" priority="306"/>
  </conditionalFormatting>
  <conditionalFormatting sqref="A2:A10">
    <cfRule type="expression" dxfId="2" priority="6">
      <formula>AND(OR(ISBLANK(B2:S2)),NOT(ISBLANK($A2)))</formula>
    </cfRule>
  </conditionalFormatting>
  <conditionalFormatting sqref="B2:S10">
    <cfRule type="expression" dxfId="1" priority="204">
      <formula>AND(ISBLANK(B2),NOT(ISBLANK($A2)))</formula>
    </cfRule>
  </conditionalFormatting>
  <conditionalFormatting sqref="C1:C10">
    <cfRule type="duplicateValues" dxfId="0" priority="309"/>
  </conditionalFormatting>
  <hyperlinks>
    <hyperlink ref="A9" r:id="rId1" xr:uid="{EC70751B-9869-463E-83B9-92B94823A64B}"/>
    <hyperlink ref="A10" r:id="rId2" xr:uid="{D7FC8B60-B3EA-4D2D-8B22-8B8E36A35785}"/>
    <hyperlink ref="A2" r:id="rId3" xr:uid="{BEADEAF4-BF88-4F06-96FF-93BFF2838BB0}"/>
    <hyperlink ref="A3" r:id="rId4" xr:uid="{DA776165-185D-4AE7-B0BD-16945C490283}"/>
    <hyperlink ref="A4" r:id="rId5" xr:uid="{7CA47CF1-1B91-4CA4-96EF-AF1814FB3C96}"/>
    <hyperlink ref="A5" r:id="rId6" xr:uid="{B73C355C-D24A-45B1-A4DD-2C190409FFA3}"/>
    <hyperlink ref="A6" r:id="rId7" xr:uid="{71E26EE3-FD36-4DCC-8FFD-1E6153B908A2}"/>
    <hyperlink ref="A7" r:id="rId8" xr:uid="{7FECDB50-3664-4D99-9A3F-FF39BC4EAB19}"/>
    <hyperlink ref="A8" r:id="rId9" xr:uid="{E1BF4A34-CC27-4E12-A0B0-C4A9919F66B8}"/>
  </hyperlinks>
  <pageMargins left="0.7" right="0.7" top="0.75" bottom="0.75" header="0.3" footer="0.3"/>
  <pageSetup orientation="portrait" r:id="rId10"/>
  <drawing r:id="rId11"/>
  <legacyDrawing r:id="rId12"/>
  <tableParts count="1">
    <tablePart r:id="rId1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criptIds xmlns="http://schemas.microsoft.com/office/extensibility/maker/v1.0" id="script-ids-node-id">
  <scriptId xmlns="" id="ms-officescript%3A%2F%2Fonedrive_business_itemlink%2F01CEFSIF4GKFKITXBIABF3LRNG7POCKF6I:ms-officescript%3A%2F%2Fonedrive_business_sharinglink%2Fu!aHR0cHM6Ly9jbGVtc29uLW15LnNoYXJlcG9pbnQuY29tLzp1Oi9nL3BlcnNvbmFsL3RjaGhhdGJfY2xlbXNvbl9lZHUvRVlaUlZJbmNLQUJMdGNXbS05d2xGOGdCcFQ3SEdwMTRMblgzeWhuQjlpb1Itdw"/>
</scriptIds>
</file>

<file path=customXml/itemProps1.xml><?xml version="1.0" encoding="utf-8"?>
<ds:datastoreItem xmlns:ds="http://schemas.openxmlformats.org/officeDocument/2006/customXml" ds:itemID="{B054BBEB-49C6-46C3-A7D8-ECA1E17B2B3F}">
  <ds:schemaRefs>
    <ds:schemaRef ds:uri="http://schemas.microsoft.com/office/extensibility/maker/v1.0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Tanmay Chhatbar</dc:creator>
  <cp:lastModifiedBy>Tanmay Chhatbar</cp:lastModifiedBy>
  <dcterms:created xsi:type="dcterms:W3CDTF">2024-06-13T15:31:32Z</dcterms:created>
  <dcterms:modified xsi:type="dcterms:W3CDTF">2024-07-10T00:55:29Z</dcterms:modified>
</cp:coreProperties>
</file>